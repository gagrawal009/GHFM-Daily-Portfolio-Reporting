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xm_ghfm_fund/Documents/GHFM_Macro/Investment_Thesis/2023/10-2023/"/>
    </mc:Choice>
  </mc:AlternateContent>
  <xr:revisionPtr revIDLastSave="1267" documentId="14_{A48F4B07-3EF3-43E5-91B2-4CA340E6013A}" xr6:coauthVersionLast="47" xr6:coauthVersionMax="47" xr10:uidLastSave="{06702B3A-C66F-41FA-B1B2-73432A76F9E5}"/>
  <bookViews>
    <workbookView xWindow="28680" yWindow="60" windowWidth="29040" windowHeight="157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H34" i="3"/>
  <c r="H35" i="3"/>
  <c r="H36" i="3"/>
  <c r="H39" i="3"/>
  <c r="G50" i="3"/>
  <c r="H45" i="3"/>
  <c r="H30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1" i="3"/>
  <c r="H32" i="3"/>
  <c r="H33" i="3"/>
  <c r="C7" i="3"/>
  <c r="C5" i="3" l="1"/>
  <c r="G51" i="3"/>
  <c r="C6" i="3"/>
  <c r="G49" i="3"/>
  <c r="C3" i="3"/>
  <c r="F35" i="3"/>
  <c r="F33" i="3"/>
  <c r="C13" i="3" a="1"/>
  <c r="F38" i="3"/>
  <c r="C13" i="3" l="1"/>
  <c r="C8" i="3" s="1"/>
  <c r="G54" i="3" l="1"/>
  <c r="F36" i="3"/>
  <c r="G52" i="3" l="1"/>
  <c r="F16" i="3" l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4" i="3"/>
  <c r="F37" i="3"/>
  <c r="F39" i="3"/>
  <c r="F40" i="3"/>
  <c r="F41" i="3"/>
  <c r="F42" i="3"/>
  <c r="F43" i="3"/>
  <c r="F44" i="3"/>
  <c r="F45" i="3"/>
  <c r="C12" i="3"/>
  <c r="C2" i="3" l="1"/>
  <c r="G53" i="3"/>
  <c r="G55" i="3" s="1"/>
  <c r="G47" i="3" l="1"/>
  <c r="G39" i="3" s="1"/>
  <c r="G24" i="3"/>
  <c r="G26" i="3"/>
  <c r="G21" i="3"/>
  <c r="G27" i="3"/>
  <c r="G32" i="3"/>
  <c r="G17" i="3"/>
  <c r="G22" i="3" l="1"/>
  <c r="G33" i="3"/>
  <c r="G34" i="3"/>
  <c r="G37" i="3"/>
  <c r="G38" i="3"/>
  <c r="G20" i="3"/>
  <c r="G45" i="3"/>
  <c r="G28" i="3"/>
  <c r="G19" i="3"/>
  <c r="G25" i="3"/>
  <c r="G36" i="3"/>
  <c r="G29" i="3"/>
  <c r="G35" i="3"/>
  <c r="G16" i="3"/>
  <c r="G30" i="3"/>
  <c r="G23" i="3"/>
  <c r="G31" i="3"/>
  <c r="G18" i="3"/>
</calcChain>
</file>

<file path=xl/sharedStrings.xml><?xml version="1.0" encoding="utf-8"?>
<sst xmlns="http://schemas.openxmlformats.org/spreadsheetml/2006/main" count="103" uniqueCount="67">
  <si>
    <t>Date</t>
  </si>
  <si>
    <t>Comments</t>
  </si>
  <si>
    <t>Approved by:</t>
  </si>
  <si>
    <t>Lawrence Chen</t>
  </si>
  <si>
    <t>Change</t>
  </si>
  <si>
    <t>Total Current value Allocation (USD)</t>
  </si>
  <si>
    <t>Subscription</t>
  </si>
  <si>
    <t>Redemption</t>
  </si>
  <si>
    <t>Current NAV</t>
  </si>
  <si>
    <t>Final NAV</t>
  </si>
  <si>
    <t>Leverage</t>
  </si>
  <si>
    <t>QQQ</t>
  </si>
  <si>
    <t>Symbol</t>
  </si>
  <si>
    <t>SecType</t>
  </si>
  <si>
    <t>STK</t>
  </si>
  <si>
    <t>Last_Price</t>
  </si>
  <si>
    <t>Old position</t>
  </si>
  <si>
    <t>New position</t>
  </si>
  <si>
    <t>Weights (%)</t>
  </si>
  <si>
    <t>Target allocation ($)</t>
  </si>
  <si>
    <t>Prepared and Checked by:</t>
  </si>
  <si>
    <t>Recommended by:</t>
  </si>
  <si>
    <t>(Excluding Options)</t>
  </si>
  <si>
    <t>Cash</t>
  </si>
  <si>
    <t>STIP</t>
  </si>
  <si>
    <t>GE</t>
  </si>
  <si>
    <t>PANW</t>
  </si>
  <si>
    <t>LLY</t>
  </si>
  <si>
    <t>CEG</t>
  </si>
  <si>
    <t>Charles Yan</t>
  </si>
  <si>
    <t>Leverage for Bonds</t>
  </si>
  <si>
    <t>Leverage for Commodities</t>
  </si>
  <si>
    <t>Equities</t>
  </si>
  <si>
    <t>Bonds</t>
  </si>
  <si>
    <t>Commodities</t>
  </si>
  <si>
    <t>Precious</t>
  </si>
  <si>
    <t>Leverage for Precious</t>
  </si>
  <si>
    <t>Leverage for Equities and Commodities (No Precious)</t>
  </si>
  <si>
    <t>BRK B</t>
  </si>
  <si>
    <t>Cash Amount</t>
  </si>
  <si>
    <t>MCK</t>
  </si>
  <si>
    <t>Leverage for QQQ</t>
  </si>
  <si>
    <t>Leverage for Equities (incl. QQQ)</t>
  </si>
  <si>
    <t>INTC</t>
  </si>
  <si>
    <t>CMCSA</t>
  </si>
  <si>
    <t>Leverage (incl. Cash)</t>
  </si>
  <si>
    <t>CME</t>
  </si>
  <si>
    <t>VRTX</t>
  </si>
  <si>
    <t>COR</t>
  </si>
  <si>
    <t>SMH</t>
  </si>
  <si>
    <t>IAU</t>
  </si>
  <si>
    <t>Actual Leverage (incl. Cash)</t>
  </si>
  <si>
    <t>URNM</t>
  </si>
  <si>
    <t>CANE</t>
  </si>
  <si>
    <t>GSG</t>
  </si>
  <si>
    <t>AAPL</t>
  </si>
  <si>
    <t>FTNT</t>
  </si>
  <si>
    <t>DLR</t>
  </si>
  <si>
    <t>SGEN</t>
  </si>
  <si>
    <t>CMG</t>
  </si>
  <si>
    <t>VCIT</t>
  </si>
  <si>
    <t>CWB</t>
  </si>
  <si>
    <t>PSQ</t>
  </si>
  <si>
    <t>SH</t>
  </si>
  <si>
    <t>XBTF</t>
  </si>
  <si>
    <t>JPST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</si>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</sst>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\$#,##0.00"/>
    <numFmt numFmtId="167" formatCode="&quot; $&quot;* #,##0.00\ ;&quot; $&quot;* \(#,##0.00\);&quot; $&quot;* \-#\ ;@\ "/>
    <numFmt numFmtId="168" formatCode="0.000"/>
    <numFmt numFmtId="169" formatCode="_(&quot;$&quot;* #,##0.0000_);_(&quot;$&quot;* \(#,##0.0000\);_(&quot;$&quot;* &quot;-&quot;??_);_(@_)"/>
    <numFmt numFmtId="170" formatCode="\$#,##0.00;\-\$#,##0.00"/>
    <numFmt numFmtId="171" formatCode="0.0000"/>
    <numFmt numFmtId="172" formatCode="&quot;$&quot;#,##0.000"/>
    <numFmt numFmtId="173" formatCode="\$#,##0.00000;\-\$#,##0.00000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charset val="1"/>
      <scheme val="minor"/>
    </font>
    <font>
      <b/>
      <sz val="10"/>
      <color theme="0"/>
      <name val="Calibri"/>
      <family val="2"/>
      <charset val="1"/>
      <scheme val="minor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F4E79"/>
        <bgColor rgb="FF00336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4" fillId="0" borderId="0" applyFont="0" applyFill="0" applyBorder="0" applyAlignment="0" applyProtection="0"/>
    <xf numFmtId="0" fontId="9" fillId="0" borderId="0"/>
    <xf numFmtId="167" fontId="9" fillId="0" borderId="0" applyBorder="0" applyProtection="0"/>
    <xf numFmtId="9" fontId="9" fillId="0" borderId="0" applyBorder="0" applyProtection="0"/>
    <xf numFmtId="9" fontId="4" fillId="0" borderId="0" applyFont="0" applyFill="0" applyBorder="0" applyAlignment="0" applyProtection="0"/>
    <xf numFmtId="0" fontId="4" fillId="0" borderId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2" xfId="0" applyFont="1" applyBorder="1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6" fontId="8" fillId="0" borderId="1" xfId="1" applyNumberFormat="1" applyFont="1" applyBorder="1" applyAlignment="1" applyProtection="1">
      <alignment vertical="center"/>
    </xf>
    <xf numFmtId="165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 wrapText="1"/>
    </xf>
    <xf numFmtId="168" fontId="8" fillId="0" borderId="1" xfId="0" applyNumberFormat="1" applyFont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6" fontId="8" fillId="0" borderId="1" xfId="3" applyNumberFormat="1" applyFont="1" applyBorder="1" applyAlignment="1" applyProtection="1">
      <alignment vertical="center"/>
    </xf>
    <xf numFmtId="169" fontId="2" fillId="0" borderId="0" xfId="1" applyNumberFormat="1" applyFont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0" fillId="0" borderId="0" xfId="0" applyNumberFormat="1"/>
    <xf numFmtId="0" fontId="0" fillId="2" borderId="0" xfId="0" applyFill="1"/>
    <xf numFmtId="170" fontId="2" fillId="0" borderId="0" xfId="0" applyNumberFormat="1" applyFont="1" applyAlignment="1">
      <alignment vertical="center"/>
    </xf>
    <xf numFmtId="171" fontId="2" fillId="0" borderId="0" xfId="0" applyNumberFormat="1" applyFont="1" applyAlignment="1">
      <alignment vertical="center"/>
    </xf>
    <xf numFmtId="172" fontId="2" fillId="2" borderId="0" xfId="0" applyNumberFormat="1" applyFont="1" applyFill="1" applyAlignment="1">
      <alignment vertical="center"/>
    </xf>
    <xf numFmtId="173" fontId="2" fillId="0" borderId="0" xfId="0" applyNumberFormat="1" applyFont="1" applyAlignment="1">
      <alignment vertical="center"/>
    </xf>
    <xf numFmtId="44" fontId="0" fillId="0" borderId="0" xfId="0" applyNumberFormat="1"/>
    <xf numFmtId="1" fontId="0" fillId="2" borderId="1" xfId="0" applyNumberFormat="1" applyFill="1" applyBorder="1"/>
    <xf numFmtId="0" fontId="1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11" fillId="2" borderId="1" xfId="0" applyFont="1" applyFill="1" applyBorder="1"/>
    <xf numFmtId="0" fontId="13" fillId="2" borderId="1" xfId="0" applyFont="1" applyFill="1" applyBorder="1"/>
    <xf numFmtId="0" fontId="0" fillId="2" borderId="1" xfId="5" applyNumberFormat="1" applyFont="1" applyFill="1" applyBorder="1"/>
    <xf numFmtId="44" fontId="0" fillId="2" borderId="1" xfId="0" applyNumberFormat="1" applyFill="1" applyBorder="1"/>
    <xf numFmtId="1" fontId="0" fillId="2" borderId="1" xfId="5" applyNumberFormat="1" applyFont="1" applyFill="1" applyBorder="1"/>
    <xf numFmtId="0" fontId="0" fillId="2" borderId="1" xfId="0" applyFill="1" applyBorder="1"/>
    <xf numFmtId="166" fontId="0" fillId="2" borderId="1" xfId="1" applyNumberFormat="1" applyFont="1" applyFill="1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/>
    <xf numFmtId="164" fontId="6" fillId="3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/>
    <xf numFmtId="164" fontId="2" fillId="0" borderId="0" xfId="0" applyNumberFormat="1" applyFont="1" applyAlignment="1">
      <alignment horizontal="center" vertical="center"/>
    </xf>
    <xf numFmtId="164" fontId="3" fillId="0" borderId="2" xfId="0" applyNumberFormat="1" applyFont="1" applyBorder="1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44" fontId="0" fillId="2" borderId="1" xfId="1" applyFont="1" applyFill="1" applyBorder="1"/>
    <xf numFmtId="164" fontId="0" fillId="2" borderId="1" xfId="1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16" fillId="2" borderId="1" xfId="0" applyFont="1" applyFill="1" applyBorder="1"/>
    <xf numFmtId="0" fontId="16" fillId="2" borderId="6" xfId="0" applyFont="1" applyFill="1" applyBorder="1"/>
    <xf numFmtId="2" fontId="0" fillId="0" borderId="0" xfId="0" applyNumberFormat="1"/>
    <xf numFmtId="2" fontId="0" fillId="2" borderId="1" xfId="0" applyNumberFormat="1" applyFill="1" applyBorder="1"/>
    <xf numFmtId="0" fontId="2" fillId="2" borderId="6" xfId="0" applyFont="1" applyFill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7">
    <cellStyle name="Currency" xfId="1" builtinId="4"/>
    <cellStyle name="Currency 2" xfId="3" xr:uid="{00000000-0005-0000-0000-000001000000}"/>
    <cellStyle name="Normal" xfId="0" builtinId="0"/>
    <cellStyle name="Normal 2" xfId="2" xr:uid="{00000000-0005-0000-0000-000003000000}"/>
    <cellStyle name="Normal 4" xfId="6" xr:uid="{00000000-0005-0000-0000-000004000000}"/>
    <cellStyle name="Percent" xfId="5" builtinId="5"/>
    <cellStyle name="Percent 2" xfId="4" xr:uid="{00000000-0005-0000-0000-000006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\$#,##0.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3E-4D04-882C-B3C60AA0BC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3E-4D04-882C-B3C60AA0BC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3E-4D04-882C-B3C60AA0BC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3E-4D04-882C-B3C60AA0BC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3E-4D04-882C-B3C60AA0BC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Sheet1!$F$49:$F$53</c:f>
              <c:strCache>
                <c:ptCount val="5"/>
                <c:pt idx="0">
                  <c:v>Equities</c:v>
                </c:pt>
                <c:pt idx="1">
                  <c:v>Bonds</c:v>
                </c:pt>
                <c:pt idx="2">
                  <c:v>Precious</c:v>
                </c:pt>
                <c:pt idx="3">
                  <c:v>Commodities</c:v>
                </c:pt>
                <c:pt idx="4">
                  <c:v>Cash</c:v>
                </c:pt>
              </c:strCache>
            </c:strRef>
          </c:cat>
          <c:val>
            <c:numRef>
              <c:f>Sheet1!$G$49:$G$53</c:f>
              <c:numCache>
                <c:formatCode>0.00</c:formatCode>
                <c:ptCount val="5"/>
                <c:pt idx="0">
                  <c:v>0.98827915402651911</c:v>
                </c:pt>
                <c:pt idx="1">
                  <c:v>9.7659103090428166E-3</c:v>
                </c:pt>
                <c:pt idx="2">
                  <c:v>1.0993080873493457E-2</c:v>
                </c:pt>
                <c:pt idx="3">
                  <c:v>0</c:v>
                </c:pt>
                <c:pt idx="4">
                  <c:v>-9.038145209055326E-3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B-46A8-9117-FBC8B493EB0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333580</xdr:colOff>
      <xdr:row>4</xdr:row>
      <xdr:rowOff>84324</xdr:rowOff>
    </xdr:from>
    <xdr:to>
      <xdr:col>8</xdr:col>
      <xdr:colOff>2072929</xdr:colOff>
      <xdr:row>7</xdr:row>
      <xdr:rowOff>204270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C8B68-95D8-40E9-8A7D-53D008D8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8558" y="630976"/>
          <a:ext cx="3089414" cy="691446"/>
        </a:xfrm>
        <a:prstGeom prst="rect">
          <a:avLst/>
        </a:prstGeom>
      </xdr:spPr>
    </xdr:pic>
    <xdr:clientData/>
  </xdr:twoCellAnchor>
  <xdr:twoCellAnchor>
    <xdr:from>
      <xdr:col>4</xdr:col>
      <xdr:colOff>111816</xdr:colOff>
      <xdr:row>0</xdr:row>
      <xdr:rowOff>152402</xdr:rowOff>
    </xdr:from>
    <xdr:to>
      <xdr:col>6</xdr:col>
      <xdr:colOff>538369</xdr:colOff>
      <xdr:row>12</xdr:row>
      <xdr:rowOff>314739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0E4CE3-4B78-E899-6AA5-CE098593B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E797F-E42A-4F41-922C-07229D3CD8E5}" name="Table132" displayName="Table132" ref="A15:I58" totalsRowShown="0" headerRowDxfId="13" dataDxfId="11" headerRowBorderDxfId="12" tableBorderDxfId="10" totalsRowBorderDxfId="9">
  <autoFilter ref="A15:I58" xr:uid="{00000000-0009-0000-0100-000001000000}"/>
  <sortState xmlns:xlrd2="http://schemas.microsoft.com/office/spreadsheetml/2017/richdata2" ref="A16:I57">
    <sortCondition ref="A15:A57"/>
  </sortState>
  <tableColumns count="9">
    <tableColumn id="1" xr3:uid="{7FE84375-2ECC-47A9-9D00-9FCF72501203}" name="Symbol" dataDxfId="8"/>
    <tableColumn id="2" xr3:uid="{4147CA84-8DD6-48B8-A445-13433BB87734}" name="SecType" dataDxfId="7"/>
    <tableColumn id="5" xr3:uid="{81A54A51-7767-4825-B4AC-865A5764619F}" name="Last_Price" dataDxfId="6" dataCellStyle="Currency"/>
    <tableColumn id="12" xr3:uid="{254E144A-B95A-43CA-8500-4FF593153FD2}" name="Old position" dataDxfId="5" dataCellStyle="Currency"/>
    <tableColumn id="13" xr3:uid="{7C43C183-226B-43AD-97D0-CAEE872EB579}" name="New position" dataDxfId="4" dataCellStyle="Currency"/>
    <tableColumn id="7" xr3:uid="{09097DAF-39E1-4129-B0D2-64B83A9F7410}" name="Change" dataDxfId="3">
      <calculatedColumnFormula>ROUND(Table132[[#This Row],[New position]]-Table132[[#This Row],[Old position]], -2)</calculatedColumnFormula>
    </tableColumn>
    <tableColumn id="4" xr3:uid="{3CDE831D-E4D4-4AB0-92BF-985D2D13F4F3}" name="Weights (%)" dataDxfId="2"/>
    <tableColumn id="3" xr3:uid="{1687135D-D33B-4813-B688-CF7701296354}" name="Target allocation ($)" dataDxfId="1" dataCellStyle="Currency"/>
    <tableColumn id="8" xr3:uid="{EAC8B0C4-6E0D-4F42-8249-5197FB4C2A91}" name="Comm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EED6-272D-4FFC-8044-4523C314F5DE}">
  <sheetPr>
    <pageSetUpPr fitToPage="1"/>
  </sheetPr>
  <dimension ref="A1:R66"/>
  <sheetViews>
    <sheetView tabSelected="1" zoomScale="115" zoomScaleNormal="115" workbookViewId="0">
      <selection activeCell="L12" sqref="L12"/>
    </sheetView>
  </sheetViews>
  <sheetFormatPr defaultColWidth="9.140625" defaultRowHeight="15" x14ac:dyDescent="0.25"/>
  <cols>
    <col min="1" max="1" width="11.28515625" style="1" customWidth="1"/>
    <col min="2" max="2" width="17.42578125" style="1" bestFit="1" customWidth="1"/>
    <col min="3" max="3" width="16.140625" style="1" bestFit="1" customWidth="1"/>
    <col min="4" max="4" width="18.28515625" bestFit="1" customWidth="1"/>
    <col min="5" max="5" width="12.140625" customWidth="1"/>
    <col min="6" max="6" width="10.5703125" bestFit="1" customWidth="1"/>
    <col min="7" max="7" width="12.140625" customWidth="1"/>
    <col min="8" max="8" width="20.28515625" style="47" bestFit="1" customWidth="1"/>
    <col min="9" max="9" width="42.28515625" customWidth="1"/>
    <col min="10" max="10" width="16.85546875" customWidth="1"/>
    <col min="11" max="11" width="9.140625" style="1"/>
    <col min="12" max="12" width="13.85546875" style="1" bestFit="1" customWidth="1"/>
    <col min="13" max="16384" width="9.140625" style="1"/>
  </cols>
  <sheetData>
    <row r="1" spans="1:18" s="13" customFormat="1" ht="12.75" x14ac:dyDescent="0.25">
      <c r="A1" s="59" t="s">
        <v>0</v>
      </c>
      <c r="B1" s="59"/>
      <c r="C1" s="12">
        <v>45225</v>
      </c>
      <c r="E1" s="14"/>
      <c r="F1" s="14"/>
      <c r="G1" s="48"/>
      <c r="H1" s="14"/>
    </row>
    <row r="2" spans="1:18" s="13" customFormat="1" x14ac:dyDescent="0.25">
      <c r="A2" s="59" t="s">
        <v>10</v>
      </c>
      <c r="B2" s="59"/>
      <c r="C2" s="15">
        <f>C13/C12</f>
        <v>2.7360644459086307</v>
      </c>
      <c r="D2"/>
      <c r="E2" s="25"/>
      <c r="F2" s="17"/>
      <c r="G2" s="17"/>
      <c r="H2" s="16"/>
    </row>
    <row r="3" spans="1:18" s="13" customFormat="1" x14ac:dyDescent="0.25">
      <c r="A3" s="61" t="s">
        <v>42</v>
      </c>
      <c r="B3" s="62"/>
      <c r="C3" s="15">
        <f>SUM(H16:H38)/C12</f>
        <v>2.6797752580546859</v>
      </c>
      <c r="D3"/>
      <c r="E3" s="25"/>
      <c r="F3" s="17"/>
      <c r="G3" s="17"/>
      <c r="H3" s="16"/>
    </row>
    <row r="4" spans="1:18" s="13" customFormat="1" x14ac:dyDescent="0.25">
      <c r="A4" s="61" t="s">
        <v>41</v>
      </c>
      <c r="B4" s="62"/>
      <c r="C4" s="15">
        <f>H33/C12</f>
        <v>1.9060411743514099</v>
      </c>
      <c r="D4"/>
      <c r="E4" s="25"/>
      <c r="F4" s="17"/>
      <c r="G4" s="17"/>
      <c r="H4" s="16"/>
    </row>
    <row r="5" spans="1:18" s="13" customFormat="1" x14ac:dyDescent="0.25">
      <c r="A5" s="61" t="s">
        <v>30</v>
      </c>
      <c r="B5" s="62"/>
      <c r="C5" s="15">
        <f>SUM(H39:H43)/C12</f>
        <v>2.6480822459857212E-2</v>
      </c>
      <c r="D5"/>
      <c r="E5" s="25"/>
      <c r="F5" s="17"/>
      <c r="G5" s="17"/>
      <c r="H5" s="16"/>
    </row>
    <row r="6" spans="1:18" s="13" customFormat="1" x14ac:dyDescent="0.25">
      <c r="A6" s="61" t="s">
        <v>36</v>
      </c>
      <c r="B6" s="62"/>
      <c r="C6" s="15">
        <f>SUM(H44:H45)/C12</f>
        <v>2.9808365394087301E-2</v>
      </c>
      <c r="D6"/>
      <c r="E6" s="25"/>
      <c r="F6" s="17"/>
      <c r="G6" s="17"/>
      <c r="H6" s="16"/>
    </row>
    <row r="7" spans="1:18" s="13" customFormat="1" x14ac:dyDescent="0.25">
      <c r="A7" s="61" t="s">
        <v>31</v>
      </c>
      <c r="B7" s="62"/>
      <c r="C7" s="15">
        <f>SUM(0)/C12</f>
        <v>0</v>
      </c>
      <c r="D7"/>
      <c r="E7" s="25"/>
      <c r="F7" s="17"/>
      <c r="G7" s="17"/>
      <c r="H7" s="16"/>
    </row>
    <row r="8" spans="1:18" s="13" customFormat="1" ht="27.75" customHeight="1" x14ac:dyDescent="0.25">
      <c r="A8" s="60" t="s">
        <v>37</v>
      </c>
      <c r="B8" s="60"/>
      <c r="C8" s="20">
        <f>(C13-SUM(H39:H45))/C12</f>
        <v>2.6797752580546859</v>
      </c>
      <c r="D8" s="24"/>
      <c r="E8" s="16"/>
      <c r="F8" s="17"/>
      <c r="G8" s="17"/>
      <c r="H8" s="16"/>
    </row>
    <row r="9" spans="1:18" s="13" customFormat="1" ht="12.75" x14ac:dyDescent="0.25">
      <c r="A9" s="59" t="s">
        <v>8</v>
      </c>
      <c r="B9" s="59"/>
      <c r="C9" s="18">
        <v>30647283</v>
      </c>
      <c r="D9" s="26"/>
      <c r="E9" s="17"/>
      <c r="F9" s="17"/>
      <c r="G9" s="17"/>
      <c r="H9" s="16"/>
    </row>
    <row r="10" spans="1:18" s="13" customFormat="1" ht="12.75" x14ac:dyDescent="0.25">
      <c r="A10" s="59" t="s">
        <v>6</v>
      </c>
      <c r="B10" s="59"/>
      <c r="C10" s="18">
        <v>0</v>
      </c>
      <c r="F10" s="17"/>
      <c r="H10" s="41"/>
    </row>
    <row r="11" spans="1:18" s="13" customFormat="1" ht="12.75" x14ac:dyDescent="0.25">
      <c r="A11" s="59" t="s">
        <v>7</v>
      </c>
      <c r="B11" s="59"/>
      <c r="C11" s="18">
        <v>0</v>
      </c>
      <c r="D11" s="23"/>
      <c r="E11" s="17"/>
      <c r="F11" s="17"/>
      <c r="G11" s="17"/>
      <c r="H11" s="16"/>
    </row>
    <row r="12" spans="1:18" s="13" customFormat="1" ht="12.75" x14ac:dyDescent="0.25">
      <c r="A12" s="59" t="s">
        <v>9</v>
      </c>
      <c r="B12" s="59"/>
      <c r="C12" s="18">
        <f>C9+C10-C11</f>
        <v>30647283</v>
      </c>
      <c r="D12" s="23"/>
      <c r="E12" s="17"/>
      <c r="F12" s="17"/>
      <c r="G12" s="17"/>
      <c r="H12" s="16"/>
    </row>
    <row r="13" spans="1:18" s="13" customFormat="1" ht="27.75" customHeight="1" x14ac:dyDescent="0.25">
      <c r="A13" s="60" t="s">
        <v>5</v>
      </c>
      <c r="B13" s="60"/>
      <c r="C13" s="11">
        <f t="array" ref="C13">SUM(ABS(Table132[Target allocation ($)]))</f>
        <v>83852941.379999995</v>
      </c>
      <c r="D13" s="23" t="s">
        <v>22</v>
      </c>
      <c r="E13" s="17"/>
      <c r="F13" s="17"/>
      <c r="G13" s="17"/>
      <c r="H13" s="16"/>
      <c r="J13" s="19"/>
    </row>
    <row r="14" spans="1:18" s="8" customFormat="1" ht="2.25" customHeight="1" x14ac:dyDescent="0.2">
      <c r="A14" s="6"/>
      <c r="B14" s="6"/>
      <c r="C14" s="4"/>
      <c r="D14" s="1"/>
      <c r="E14" s="1"/>
      <c r="F14" s="1"/>
      <c r="G14" s="1"/>
      <c r="H14" s="42"/>
      <c r="I14" s="1"/>
    </row>
    <row r="15" spans="1:18" s="2" customFormat="1" ht="12.75" x14ac:dyDescent="0.25">
      <c r="A15" s="7" t="s">
        <v>12</v>
      </c>
      <c r="B15" s="7" t="s">
        <v>13</v>
      </c>
      <c r="C15" s="7" t="s">
        <v>15</v>
      </c>
      <c r="D15" s="7" t="s">
        <v>16</v>
      </c>
      <c r="E15" s="7" t="s">
        <v>17</v>
      </c>
      <c r="F15" s="9" t="s">
        <v>4</v>
      </c>
      <c r="G15" s="7" t="s">
        <v>18</v>
      </c>
      <c r="H15" s="43" t="s">
        <v>19</v>
      </c>
      <c r="I15" s="10" t="s">
        <v>1</v>
      </c>
    </row>
    <row r="16" spans="1:18" s="2" customFormat="1" x14ac:dyDescent="0.25">
      <c r="A16" s="38" t="s">
        <v>27</v>
      </c>
      <c r="B16" s="38" t="s">
        <v>14</v>
      </c>
      <c r="C16" s="51">
        <v>584.86</v>
      </c>
      <c r="D16" s="38">
        <v>639</v>
      </c>
      <c r="E16" s="38">
        <v>639</v>
      </c>
      <c r="F16" s="37">
        <f>Table132[[#This Row],[New position]]-Table132[[#This Row],[Old position]]</f>
        <v>0</v>
      </c>
      <c r="G16" s="38">
        <f>ROUND(Table132[[#This Row],[Target allocation ($)]]/(IF(G55&gt;0, G48,G47)*C9)*100,3)</f>
        <v>0.44600000000000001</v>
      </c>
      <c r="H16" s="44">
        <f>Table132[[#This Row],[New position]]*Table132[[#This Row],[Last_Price]]</f>
        <v>373725.54000000004</v>
      </c>
      <c r="I16" s="31"/>
      <c r="J16"/>
      <c r="L16"/>
      <c r="M16"/>
      <c r="N16"/>
      <c r="O16"/>
      <c r="P16"/>
      <c r="Q16"/>
      <c r="R16"/>
    </row>
    <row r="17" spans="1:18" x14ac:dyDescent="0.25">
      <c r="A17" s="38" t="s">
        <v>28</v>
      </c>
      <c r="B17" s="38" t="s">
        <v>14</v>
      </c>
      <c r="C17" s="51">
        <v>112.03</v>
      </c>
      <c r="D17" s="38">
        <v>3304</v>
      </c>
      <c r="E17" s="38">
        <v>3304</v>
      </c>
      <c r="F17" s="37">
        <f>Table132[[#This Row],[New position]]-Table132[[#This Row],[Old position]]</f>
        <v>0</v>
      </c>
      <c r="G17" s="38">
        <f>ROUND(Table132[[#This Row],[Target allocation ($)]]/(IF(G55&gt;0, G48,G47)*C9)*100,3)</f>
        <v>0.441</v>
      </c>
      <c r="H17" s="44">
        <f>Table132[[#This Row],[New position]]*Table132[[#This Row],[Last_Price]]</f>
        <v>370147.12</v>
      </c>
      <c r="I17" s="31"/>
      <c r="L17"/>
      <c r="M17"/>
      <c r="N17"/>
      <c r="O17"/>
      <c r="P17"/>
      <c r="Q17"/>
      <c r="R17"/>
    </row>
    <row r="18" spans="1:18" x14ac:dyDescent="0.25">
      <c r="A18" s="38" t="s">
        <v>25</v>
      </c>
      <c r="B18" s="38" t="s">
        <v>14</v>
      </c>
      <c r="C18" s="51">
        <v>111.2</v>
      </c>
      <c r="D18" s="38">
        <v>3296</v>
      </c>
      <c r="E18" s="38">
        <v>3296</v>
      </c>
      <c r="F18" s="37">
        <f>Table132[[#This Row],[New position]]-Table132[[#This Row],[Old position]]</f>
        <v>0</v>
      </c>
      <c r="G18" s="38">
        <f>ROUND(Table132[[#This Row],[Target allocation ($)]]/(IF(G55&gt;0, G48,G47)*C9)*100,3)</f>
        <v>0.437</v>
      </c>
      <c r="H18" s="44">
        <f>Table132[[#This Row],[New position]]*Table132[[#This Row],[Last_Price]]</f>
        <v>366515.20000000001</v>
      </c>
      <c r="I18" s="58"/>
      <c r="L18"/>
      <c r="M18"/>
      <c r="N18"/>
      <c r="O18"/>
      <c r="P18"/>
      <c r="Q18"/>
      <c r="R18"/>
    </row>
    <row r="19" spans="1:18" x14ac:dyDescent="0.25">
      <c r="A19" s="38" t="s">
        <v>40</v>
      </c>
      <c r="B19" s="38" t="s">
        <v>14</v>
      </c>
      <c r="C19" s="51">
        <v>453</v>
      </c>
      <c r="D19" s="38">
        <v>823</v>
      </c>
      <c r="E19" s="38">
        <v>823</v>
      </c>
      <c r="F19" s="37">
        <f>Table132[[#This Row],[New position]]-Table132[[#This Row],[Old position]]</f>
        <v>0</v>
      </c>
      <c r="G19" s="38">
        <f>ROUND(Table132[[#This Row],[Target allocation ($)]]/(IF(G55&gt;0, G48,G47)*C9)*100,3)</f>
        <v>0.44500000000000001</v>
      </c>
      <c r="H19" s="44">
        <f>Table132[[#This Row],[New position]]*Table132[[#This Row],[Last_Price]]</f>
        <v>372819</v>
      </c>
      <c r="I19" s="31"/>
      <c r="L19"/>
      <c r="M19"/>
      <c r="N19"/>
      <c r="O19"/>
      <c r="P19"/>
      <c r="Q19"/>
      <c r="R19"/>
    </row>
    <row r="20" spans="1:18" x14ac:dyDescent="0.25">
      <c r="A20" s="38" t="s">
        <v>38</v>
      </c>
      <c r="B20" s="38" t="s">
        <v>14</v>
      </c>
      <c r="C20" s="51">
        <v>336</v>
      </c>
      <c r="D20" s="38">
        <v>1095</v>
      </c>
      <c r="E20" s="38">
        <v>1095</v>
      </c>
      <c r="F20" s="37">
        <f>Table132[[#This Row],[New position]]-Table132[[#This Row],[Old position]]</f>
        <v>0</v>
      </c>
      <c r="G20" s="38">
        <f>ROUND(Table132[[#This Row],[Target allocation ($)]]/(IF(G55&gt;0, G48,G47)*C9)*100,3)</f>
        <v>0.439</v>
      </c>
      <c r="H20" s="44">
        <f>Table132[[#This Row],[New position]]*Table132[[#This Row],[Last_Price]]</f>
        <v>367920</v>
      </c>
      <c r="I20" s="31"/>
      <c r="L20"/>
      <c r="M20"/>
      <c r="N20"/>
      <c r="O20"/>
      <c r="P20"/>
      <c r="Q20"/>
      <c r="R20"/>
    </row>
    <row r="21" spans="1:18" x14ac:dyDescent="0.25">
      <c r="A21" s="38" t="s">
        <v>26</v>
      </c>
      <c r="B21" s="38" t="s">
        <v>14</v>
      </c>
      <c r="C21" s="51">
        <v>244.79</v>
      </c>
      <c r="D21" s="38">
        <v>1489</v>
      </c>
      <c r="E21" s="38">
        <v>1489</v>
      </c>
      <c r="F21" s="37">
        <f>Table132[[#This Row],[New position]]-Table132[[#This Row],[Old position]]</f>
        <v>0</v>
      </c>
      <c r="G21" s="38">
        <f>ROUND(Table132[[#This Row],[Target allocation ($)]]/(IF(G55&gt;0, G48,G47)*C9)*100,3)</f>
        <v>0.435</v>
      </c>
      <c r="H21" s="44">
        <f>Table132[[#This Row],[New position]]*Table132[[#This Row],[Last_Price]]</f>
        <v>364492.31</v>
      </c>
      <c r="I21" s="31"/>
      <c r="L21"/>
      <c r="M21"/>
      <c r="N21"/>
      <c r="O21"/>
      <c r="P21"/>
      <c r="Q21"/>
      <c r="R21"/>
    </row>
    <row r="22" spans="1:18" x14ac:dyDescent="0.25">
      <c r="A22" s="38" t="s">
        <v>43</v>
      </c>
      <c r="B22" s="38" t="s">
        <v>14</v>
      </c>
      <c r="C22" s="51">
        <v>32.65</v>
      </c>
      <c r="D22" s="38">
        <v>7929</v>
      </c>
      <c r="E22" s="38">
        <v>7929</v>
      </c>
      <c r="F22" s="37">
        <f>Table132[[#This Row],[New position]]-Table132[[#This Row],[Old position]]</f>
        <v>0</v>
      </c>
      <c r="G22" s="38">
        <f>ROUND(Table132[[#This Row],[Target allocation ($)]]/(IF(G55&gt;0, G48,G47)*C9)*100,3)</f>
        <v>0.309</v>
      </c>
      <c r="H22" s="44">
        <f>Table132[[#This Row],[New position]]*Table132[[#This Row],[Last_Price]]</f>
        <v>258881.84999999998</v>
      </c>
      <c r="I22" s="31"/>
      <c r="L22"/>
      <c r="M22"/>
      <c r="N22"/>
      <c r="O22"/>
      <c r="P22"/>
      <c r="Q22"/>
      <c r="R22"/>
    </row>
    <row r="23" spans="1:18" x14ac:dyDescent="0.25">
      <c r="A23" s="38" t="s">
        <v>44</v>
      </c>
      <c r="B23" s="38" t="s">
        <v>14</v>
      </c>
      <c r="C23" s="51">
        <v>43.15</v>
      </c>
      <c r="D23" s="38">
        <v>8614</v>
      </c>
      <c r="E23" s="38">
        <v>8614</v>
      </c>
      <c r="F23" s="37">
        <f>Table132[[#This Row],[New position]]-Table132[[#This Row],[Old position]]</f>
        <v>0</v>
      </c>
      <c r="G23" s="38">
        <f>ROUND(Table132[[#This Row],[Target allocation ($)]]/(IF(G55&gt;0, G48,G47)*C9)*100,3)</f>
        <v>0.443</v>
      </c>
      <c r="H23" s="44">
        <f>Table132[[#This Row],[New position]]*Table132[[#This Row],[Last_Price]]</f>
        <v>371694.1</v>
      </c>
      <c r="I23" s="30"/>
      <c r="L23"/>
      <c r="M23"/>
      <c r="N23"/>
      <c r="O23"/>
      <c r="P23"/>
      <c r="Q23"/>
      <c r="R23"/>
    </row>
    <row r="24" spans="1:18" x14ac:dyDescent="0.25">
      <c r="A24" s="38" t="s">
        <v>46</v>
      </c>
      <c r="B24" s="38" t="s">
        <v>14</v>
      </c>
      <c r="C24" s="51">
        <v>214.08</v>
      </c>
      <c r="D24" s="38">
        <v>1734</v>
      </c>
      <c r="E24" s="38">
        <v>1734</v>
      </c>
      <c r="F24" s="37">
        <f>Table132[[#This Row],[New position]]-Table132[[#This Row],[Old position]]</f>
        <v>0</v>
      </c>
      <c r="G24" s="38">
        <f>ROUND(Table132[[#This Row],[Target allocation ($)]]/(IF(G55&gt;0, G48,G47)*C9)*100,3)</f>
        <v>0.443</v>
      </c>
      <c r="H24" s="44">
        <f>Table132[[#This Row],[New position]]*Table132[[#This Row],[Last_Price]]</f>
        <v>371214.72000000003</v>
      </c>
      <c r="I24" s="31"/>
      <c r="L24"/>
      <c r="M24"/>
      <c r="N24"/>
      <c r="O24"/>
      <c r="P24"/>
      <c r="Q24"/>
      <c r="R24"/>
    </row>
    <row r="25" spans="1:18" x14ac:dyDescent="0.25">
      <c r="A25" s="38" t="s">
        <v>47</v>
      </c>
      <c r="B25" s="38" t="s">
        <v>14</v>
      </c>
      <c r="C25" s="51">
        <v>363.04</v>
      </c>
      <c r="D25" s="38">
        <v>1005</v>
      </c>
      <c r="E25" s="38">
        <v>1005</v>
      </c>
      <c r="F25" s="37">
        <f>Table132[[#This Row],[New position]]-Table132[[#This Row],[Old position]]</f>
        <v>0</v>
      </c>
      <c r="G25" s="38">
        <f>ROUND(Table132[[#This Row],[Target allocation ($)]]/(IF(G55&gt;0, G48,G47)*C9)*100,3)</f>
        <v>0.435</v>
      </c>
      <c r="H25" s="44">
        <f>Table132[[#This Row],[New position]]*Table132[[#This Row],[Last_Price]]</f>
        <v>364855.2</v>
      </c>
      <c r="I25" s="31"/>
      <c r="L25"/>
      <c r="M25"/>
      <c r="N25"/>
      <c r="O25"/>
      <c r="P25"/>
      <c r="Q25"/>
      <c r="R25"/>
    </row>
    <row r="26" spans="1:18" x14ac:dyDescent="0.25">
      <c r="A26" s="38" t="s">
        <v>48</v>
      </c>
      <c r="B26" s="38" t="s">
        <v>14</v>
      </c>
      <c r="C26" s="51">
        <v>189.12</v>
      </c>
      <c r="D26" s="38">
        <v>1962</v>
      </c>
      <c r="E26" s="38">
        <v>1962</v>
      </c>
      <c r="F26" s="37">
        <f>Table132[[#This Row],[New position]]-Table132[[#This Row],[Old position]]</f>
        <v>0</v>
      </c>
      <c r="G26" s="38">
        <f>ROUND(Table132[[#This Row],[Target allocation ($)]]/(IF(G55&gt;0, G48,G47)*C9)*100,3)</f>
        <v>0.443</v>
      </c>
      <c r="H26" s="44">
        <f>Table132[[#This Row],[New position]]*Table132[[#This Row],[Last_Price]]</f>
        <v>371053.44</v>
      </c>
      <c r="I26" s="31"/>
      <c r="L26"/>
      <c r="M26"/>
      <c r="N26"/>
      <c r="O26"/>
      <c r="P26"/>
      <c r="Q26"/>
      <c r="R26"/>
    </row>
    <row r="27" spans="1:18" x14ac:dyDescent="0.25">
      <c r="A27" s="38" t="s">
        <v>49</v>
      </c>
      <c r="B27" s="38" t="s">
        <v>14</v>
      </c>
      <c r="C27" s="51">
        <v>138.24</v>
      </c>
      <c r="D27" s="38">
        <v>2577</v>
      </c>
      <c r="E27" s="38">
        <v>2577</v>
      </c>
      <c r="F27" s="37">
        <f>Table132[[#This Row],[New position]]-Table132[[#This Row],[Old position]]</f>
        <v>0</v>
      </c>
      <c r="G27" s="38">
        <f>ROUND(Table132[[#This Row],[Target allocation ($)]]/(IF(G55&gt;0, G48,G47)*C9)*100,3)</f>
        <v>0.42499999999999999</v>
      </c>
      <c r="H27" s="44">
        <f>Table132[[#This Row],[New position]]*Table132[[#This Row],[Last_Price]]</f>
        <v>356244.48000000004</v>
      </c>
      <c r="I27" s="31"/>
      <c r="L27"/>
      <c r="M27"/>
      <c r="N27"/>
      <c r="O27"/>
      <c r="P27"/>
      <c r="Q27"/>
      <c r="R27"/>
    </row>
    <row r="28" spans="1:18" x14ac:dyDescent="0.25">
      <c r="A28" s="38" t="s">
        <v>55</v>
      </c>
      <c r="B28" s="38" t="s">
        <v>14</v>
      </c>
      <c r="C28" s="51">
        <v>168.97</v>
      </c>
      <c r="D28" s="38">
        <v>2136</v>
      </c>
      <c r="E28" s="38">
        <v>2136</v>
      </c>
      <c r="F28" s="37">
        <f>Table132[[#This Row],[New position]]-Table132[[#This Row],[Old position]]</f>
        <v>0</v>
      </c>
      <c r="G28" s="38">
        <f>ROUND(Table132[[#This Row],[Target allocation ($)]]/(IF(G55&gt;0, G48,G47)*C9)*100,3)</f>
        <v>0.43</v>
      </c>
      <c r="H28" s="44">
        <f>Table132[[#This Row],[New position]]*Table132[[#This Row],[Last_Price]]</f>
        <v>360919.92</v>
      </c>
      <c r="I28" s="30"/>
      <c r="L28"/>
      <c r="M28"/>
      <c r="N28"/>
      <c r="O28"/>
      <c r="P28"/>
      <c r="Q28"/>
      <c r="R28"/>
    </row>
    <row r="29" spans="1:18" x14ac:dyDescent="0.25">
      <c r="A29" s="38" t="s">
        <v>56</v>
      </c>
      <c r="B29" s="38" t="s">
        <v>14</v>
      </c>
      <c r="C29" s="51">
        <v>55.52</v>
      </c>
      <c r="D29" s="38">
        <v>6550</v>
      </c>
      <c r="E29" s="38">
        <v>6550</v>
      </c>
      <c r="F29" s="37">
        <f>Table132[[#This Row],[New position]]-Table132[[#This Row],[Old position]]</f>
        <v>0</v>
      </c>
      <c r="G29" s="38">
        <f>ROUND(Table132[[#This Row],[Target allocation ($)]]/(IF(G55&gt;0, G48,G47)*C9)*100,3)</f>
        <v>0.434</v>
      </c>
      <c r="H29" s="44">
        <f>Table132[[#This Row],[New position]]*Table132[[#This Row],[Last_Price]]</f>
        <v>363656</v>
      </c>
      <c r="I29" s="55"/>
      <c r="L29"/>
      <c r="M29"/>
      <c r="N29"/>
      <c r="O29"/>
      <c r="P29"/>
      <c r="Q29"/>
      <c r="R29"/>
    </row>
    <row r="30" spans="1:18" x14ac:dyDescent="0.25">
      <c r="A30" s="38" t="s">
        <v>57</v>
      </c>
      <c r="B30" s="38" t="s">
        <v>14</v>
      </c>
      <c r="C30" s="51">
        <v>116.96</v>
      </c>
      <c r="D30" s="38">
        <v>3154</v>
      </c>
      <c r="E30" s="38">
        <v>3154</v>
      </c>
      <c r="F30" s="37">
        <f>Table132[[#This Row],[New position]]-Table132[[#This Row],[Old position]]</f>
        <v>0</v>
      </c>
      <c r="G30" s="38">
        <f>ROUND(Table132[[#This Row],[Target allocation ($)]]/(IF(G55&gt;0, G48,G47)*C9)*100,3)</f>
        <v>0.44</v>
      </c>
      <c r="H30" s="44">
        <f>Table132[[#This Row],[New position]]*Table132[[#This Row],[Last_Price]]</f>
        <v>368891.83999999997</v>
      </c>
      <c r="I30" s="31"/>
      <c r="L30"/>
      <c r="M30"/>
      <c r="N30"/>
      <c r="O30"/>
      <c r="P30"/>
      <c r="Q30"/>
      <c r="R30"/>
    </row>
    <row r="31" spans="1:18" x14ac:dyDescent="0.25">
      <c r="A31" s="38" t="s">
        <v>58</v>
      </c>
      <c r="B31" s="38" t="s">
        <v>14</v>
      </c>
      <c r="C31" s="51">
        <v>216.64</v>
      </c>
      <c r="D31" s="38">
        <v>1708</v>
      </c>
      <c r="E31" s="38">
        <v>1708</v>
      </c>
      <c r="F31" s="37">
        <f>Table132[[#This Row],[New position]]-Table132[[#This Row],[Old position]]</f>
        <v>0</v>
      </c>
      <c r="G31" s="38">
        <f>ROUND(Table132[[#This Row],[Target allocation ($)]]/(IF(G55&gt;0, G48,G47)*C9)*100,3)</f>
        <v>0.441</v>
      </c>
      <c r="H31" s="44">
        <f>Table132[[#This Row],[New position]]*Table132[[#This Row],[Last_Price]]</f>
        <v>370021.12</v>
      </c>
      <c r="I31" s="29"/>
      <c r="L31"/>
      <c r="M31"/>
      <c r="N31"/>
      <c r="O31"/>
      <c r="P31"/>
      <c r="Q31"/>
      <c r="R31"/>
    </row>
    <row r="32" spans="1:18" x14ac:dyDescent="0.25">
      <c r="A32" s="38" t="s">
        <v>59</v>
      </c>
      <c r="B32" s="38" t="s">
        <v>14</v>
      </c>
      <c r="C32" s="51">
        <v>1841.87</v>
      </c>
      <c r="D32" s="38">
        <v>204</v>
      </c>
      <c r="E32" s="38">
        <v>204</v>
      </c>
      <c r="F32" s="37">
        <f>Table132[[#This Row],[New position]]-Table132[[#This Row],[Old position]]</f>
        <v>0</v>
      </c>
      <c r="G32" s="38">
        <f>ROUND(Table132[[#This Row],[Target allocation ($)]]/(IF(G55&gt;0, G48,G47)*C9)*100,3)</f>
        <v>0.44800000000000001</v>
      </c>
      <c r="H32" s="44">
        <f>Table132[[#This Row],[New position]]*Table132[[#This Row],[Last_Price]]</f>
        <v>375741.48</v>
      </c>
      <c r="I32" s="31"/>
      <c r="L32"/>
      <c r="M32"/>
      <c r="N32"/>
      <c r="O32"/>
      <c r="P32"/>
      <c r="Q32"/>
      <c r="R32"/>
    </row>
    <row r="33" spans="1:18" x14ac:dyDescent="0.25">
      <c r="A33" s="38" t="s">
        <v>11</v>
      </c>
      <c r="B33" s="38" t="s">
        <v>14</v>
      </c>
      <c r="C33" s="51">
        <v>346.66</v>
      </c>
      <c r="D33" s="38">
        <v>168508</v>
      </c>
      <c r="E33" s="38">
        <v>168508</v>
      </c>
      <c r="F33" s="37">
        <f>Table132[[#This Row],[New position]]-Table132[[#This Row],[Old position]]</f>
        <v>0</v>
      </c>
      <c r="G33" s="38">
        <f>ROUND(Table132[[#This Row],[Target allocation ($)]]/(IF(G55&gt;0, G48,G47)*C9)*100,3)</f>
        <v>69.664000000000001</v>
      </c>
      <c r="H33" s="44">
        <f>Table132[[#This Row],[New position]]*Table132[[#This Row],[Last_Price]]</f>
        <v>58414983.280000001</v>
      </c>
      <c r="I33" s="31"/>
      <c r="L33"/>
      <c r="M33"/>
      <c r="N33"/>
      <c r="O33"/>
      <c r="P33"/>
      <c r="Q33"/>
      <c r="R33"/>
    </row>
    <row r="34" spans="1:18" x14ac:dyDescent="0.25">
      <c r="A34" s="38" t="s">
        <v>52</v>
      </c>
      <c r="B34" s="38" t="s">
        <v>14</v>
      </c>
      <c r="C34" s="51">
        <v>45.95</v>
      </c>
      <c r="D34" s="38">
        <v>7198</v>
      </c>
      <c r="E34" s="38">
        <v>7198</v>
      </c>
      <c r="F34" s="37">
        <f>Table132[[#This Row],[New position]]-Table132[[#This Row],[Old position]]</f>
        <v>0</v>
      </c>
      <c r="G34" s="38">
        <f>ROUND(Table132[[#This Row],[Target allocation ($)]]/(IF(G55&gt;0, G48,G47)*C9)*100,3)</f>
        <v>0.39400000000000002</v>
      </c>
      <c r="H34" s="44">
        <f>Table132[[#This Row],[New position]]*Table132[[#This Row],[Last_Price]]</f>
        <v>330748.10000000003</v>
      </c>
      <c r="I34" s="31"/>
      <c r="L34"/>
      <c r="M34"/>
      <c r="N34"/>
      <c r="O34"/>
      <c r="P34"/>
      <c r="Q34"/>
      <c r="R34"/>
    </row>
    <row r="35" spans="1:18" x14ac:dyDescent="0.25">
      <c r="A35" s="38" t="s">
        <v>53</v>
      </c>
      <c r="B35" s="38" t="s">
        <v>14</v>
      </c>
      <c r="C35" s="51">
        <v>15.32</v>
      </c>
      <c r="D35" s="38">
        <v>19970</v>
      </c>
      <c r="E35" s="38">
        <v>19970</v>
      </c>
      <c r="F35" s="37">
        <f>Table132[[#This Row],[New position]]-Table132[[#This Row],[Old position]]</f>
        <v>0</v>
      </c>
      <c r="G35" s="38">
        <f>ROUND(Table132[[#This Row],[Target allocation ($)]]/(IF(G55&gt;0, G48,G47)*C9)*100,3)</f>
        <v>0.36499999999999999</v>
      </c>
      <c r="H35" s="44">
        <f>Table132[[#This Row],[New position]]*Table132[[#This Row],[Last_Price]]</f>
        <v>305940.40000000002</v>
      </c>
      <c r="I35" s="31"/>
      <c r="L35"/>
      <c r="M35"/>
      <c r="N35"/>
      <c r="O35"/>
      <c r="P35"/>
      <c r="Q35"/>
      <c r="R35"/>
    </row>
    <row r="36" spans="1:18" x14ac:dyDescent="0.25">
      <c r="A36" s="38" t="s">
        <v>54</v>
      </c>
      <c r="B36" s="38" t="s">
        <v>14</v>
      </c>
      <c r="C36" s="51">
        <v>21.98</v>
      </c>
      <c r="D36" s="38">
        <v>13967</v>
      </c>
      <c r="E36" s="38">
        <v>13967</v>
      </c>
      <c r="F36" s="37">
        <f>Table132[[#This Row],[New position]]-Table132[[#This Row],[Old position]]</f>
        <v>0</v>
      </c>
      <c r="G36" s="38">
        <f>ROUND(Table132[[#This Row],[Target allocation ($)]]/(IF(G55&gt;0, G48,G47)*C9)*100,3)</f>
        <v>0.36599999999999999</v>
      </c>
      <c r="H36" s="44">
        <f>Table132[[#This Row],[New position]]*Table132[[#This Row],[Last_Price]]</f>
        <v>306994.66000000003</v>
      </c>
      <c r="I36" s="31"/>
      <c r="L36"/>
      <c r="M36"/>
      <c r="N36"/>
      <c r="O36"/>
      <c r="P36"/>
      <c r="Q36"/>
      <c r="R36"/>
    </row>
    <row r="37" spans="1:18" x14ac:dyDescent="0.25">
      <c r="A37" s="38" t="s">
        <v>62</v>
      </c>
      <c r="B37" s="38" t="s">
        <v>14</v>
      </c>
      <c r="C37" s="51">
        <v>11.3</v>
      </c>
      <c r="D37" s="38">
        <v>0</v>
      </c>
      <c r="E37" s="38">
        <v>1103122</v>
      </c>
      <c r="F37" s="37">
        <f>Table132[[#This Row],[New position]]-Table132[[#This Row],[Old position]]</f>
        <v>1103122</v>
      </c>
      <c r="G37" s="38">
        <f>ROUND(Table132[[#This Row],[Target allocation ($)]]/(IF(G55&gt;0, G48,G47)*C9)*100,3)</f>
        <v>14.866</v>
      </c>
      <c r="H37" s="44">
        <v>12465278.210000001</v>
      </c>
      <c r="I37" s="31"/>
      <c r="J37" s="27"/>
      <c r="L37"/>
      <c r="M37"/>
      <c r="N37"/>
      <c r="O37"/>
      <c r="P37"/>
      <c r="Q37"/>
      <c r="R37"/>
    </row>
    <row r="38" spans="1:18" x14ac:dyDescent="0.25">
      <c r="A38" s="38" t="s">
        <v>63</v>
      </c>
      <c r="B38" s="38" t="s">
        <v>14</v>
      </c>
      <c r="C38" s="51">
        <v>14.98</v>
      </c>
      <c r="D38" s="38">
        <v>0</v>
      </c>
      <c r="E38" s="38">
        <v>277376</v>
      </c>
      <c r="F38" s="37">
        <f>Table132[[#This Row],[New position]]-Table132[[#This Row],[Old position]]</f>
        <v>277376</v>
      </c>
      <c r="G38" s="38">
        <f>ROUND(Table132[[#This Row],[Target allocation ($)]]/(IF(G55&gt;0, G48,G47)*C9)*100,3)</f>
        <v>4.9550000000000001</v>
      </c>
      <c r="H38" s="44">
        <v>4155092.74</v>
      </c>
      <c r="I38" s="31"/>
      <c r="L38"/>
      <c r="M38"/>
      <c r="N38"/>
      <c r="O38"/>
      <c r="P38"/>
      <c r="Q38"/>
      <c r="R38"/>
    </row>
    <row r="39" spans="1:18" x14ac:dyDescent="0.25">
      <c r="A39" s="38" t="s">
        <v>24</v>
      </c>
      <c r="B39" s="38" t="s">
        <v>14</v>
      </c>
      <c r="C39" s="51">
        <v>96.93</v>
      </c>
      <c r="D39" s="38">
        <v>4086</v>
      </c>
      <c r="E39" s="38">
        <v>4086</v>
      </c>
      <c r="F39" s="37">
        <f>Table132[[#This Row],[New position]]-Table132[[#This Row],[Old position]]</f>
        <v>0</v>
      </c>
      <c r="G39" s="38">
        <f>ROUND(Table132[[#This Row],[Target allocation ($)]]/(IF(G55&gt;0, G48,G47)*C9)*100,3)</f>
        <v>0.47199999999999998</v>
      </c>
      <c r="H39" s="44">
        <f>Table132[[#This Row],[New position]]*Table132[[#This Row],[Last_Price]]</f>
        <v>396055.98000000004</v>
      </c>
      <c r="I39" s="31"/>
      <c r="L39"/>
      <c r="M39"/>
      <c r="N39"/>
      <c r="O39"/>
      <c r="P39"/>
      <c r="Q39"/>
      <c r="R39"/>
    </row>
    <row r="40" spans="1:18" x14ac:dyDescent="0.25">
      <c r="A40" s="38" t="s">
        <v>60</v>
      </c>
      <c r="B40" s="38" t="s">
        <v>14</v>
      </c>
      <c r="C40" s="51">
        <v>74.260000000000005</v>
      </c>
      <c r="D40" s="38">
        <v>2859</v>
      </c>
      <c r="E40" s="38">
        <v>2859</v>
      </c>
      <c r="F40" s="37">
        <f>Table132[[#This Row],[New position]]-Table132[[#This Row],[Old position]]</f>
        <v>0</v>
      </c>
      <c r="G40" s="38">
        <v>0.25</v>
      </c>
      <c r="H40" s="44">
        <v>207754.64</v>
      </c>
      <c r="I40" s="31"/>
      <c r="L40"/>
      <c r="M40"/>
      <c r="N40"/>
      <c r="O40"/>
      <c r="P40"/>
      <c r="Q40"/>
      <c r="R40"/>
    </row>
    <row r="41" spans="1:18" x14ac:dyDescent="0.25">
      <c r="A41" s="38" t="s">
        <v>61</v>
      </c>
      <c r="B41" s="38" t="s">
        <v>14</v>
      </c>
      <c r="C41" s="51">
        <v>65.33</v>
      </c>
      <c r="D41" s="38">
        <v>3189</v>
      </c>
      <c r="E41" s="38">
        <v>3189</v>
      </c>
      <c r="F41" s="37">
        <f>Table132[[#This Row],[New position]]-Table132[[#This Row],[Old position]]</f>
        <v>0</v>
      </c>
      <c r="G41" s="38">
        <v>0.25</v>
      </c>
      <c r="H41" s="44">
        <v>207754.64</v>
      </c>
      <c r="I41" s="31"/>
      <c r="L41"/>
      <c r="M41"/>
      <c r="N41"/>
      <c r="O41"/>
      <c r="P41"/>
      <c r="Q41"/>
      <c r="R41"/>
    </row>
    <row r="42" spans="1:18" x14ac:dyDescent="0.25">
      <c r="A42" s="38" t="s">
        <v>65</v>
      </c>
      <c r="B42" s="38" t="s">
        <v>14</v>
      </c>
      <c r="C42" s="51">
        <v>50.16</v>
      </c>
      <c r="D42" s="38">
        <v>157970</v>
      </c>
      <c r="E42" s="38">
        <v>0</v>
      </c>
      <c r="F42" s="37">
        <f>Table132[[#This Row],[New position]]-Table132[[#This Row],[Old position]]</f>
        <v>-157970</v>
      </c>
      <c r="G42" s="38">
        <v>0</v>
      </c>
      <c r="H42" s="44">
        <v>0</v>
      </c>
      <c r="I42" s="32"/>
      <c r="L42"/>
      <c r="M42"/>
      <c r="N42"/>
      <c r="O42"/>
      <c r="P42"/>
      <c r="Q42"/>
      <c r="R42"/>
    </row>
    <row r="43" spans="1:18" x14ac:dyDescent="0.25">
      <c r="A43" s="38" t="s">
        <v>66</v>
      </c>
      <c r="B43" s="38" t="s">
        <v>14</v>
      </c>
      <c r="C43" s="51">
        <v>91.78</v>
      </c>
      <c r="D43" s="38">
        <v>86397</v>
      </c>
      <c r="E43" s="38">
        <v>0</v>
      </c>
      <c r="F43" s="37">
        <f>Table132[[#This Row],[New position]]-Table132[[#This Row],[Old position]]</f>
        <v>-86397</v>
      </c>
      <c r="G43" s="38">
        <v>0</v>
      </c>
      <c r="H43" s="44">
        <v>0</v>
      </c>
      <c r="I43" s="31"/>
      <c r="L43" s="47"/>
      <c r="M43"/>
      <c r="N43"/>
      <c r="O43"/>
      <c r="P43"/>
      <c r="Q43"/>
      <c r="R43"/>
    </row>
    <row r="44" spans="1:18" x14ac:dyDescent="0.25">
      <c r="A44" s="38" t="s">
        <v>50</v>
      </c>
      <c r="B44" s="38" t="s">
        <v>14</v>
      </c>
      <c r="C44" s="51">
        <v>37.69</v>
      </c>
      <c r="D44" s="38">
        <v>10595</v>
      </c>
      <c r="E44" s="38">
        <v>11024</v>
      </c>
      <c r="F44" s="37">
        <f>Table132[[#This Row],[New position]]-Table132[[#This Row],[Old position]]</f>
        <v>429</v>
      </c>
      <c r="G44" s="38">
        <v>0.5</v>
      </c>
      <c r="H44" s="44">
        <v>415509.27</v>
      </c>
      <c r="I44" s="31"/>
      <c r="L44" s="56"/>
      <c r="M44"/>
      <c r="N44"/>
      <c r="O44"/>
      <c r="P44"/>
      <c r="Q44"/>
      <c r="R44"/>
    </row>
    <row r="45" spans="1:18" x14ac:dyDescent="0.25">
      <c r="A45" s="38" t="s">
        <v>64</v>
      </c>
      <c r="B45" s="38" t="s">
        <v>14</v>
      </c>
      <c r="C45" s="51">
        <v>33.74</v>
      </c>
      <c r="D45" s="38">
        <v>14761</v>
      </c>
      <c r="E45" s="38">
        <v>14761</v>
      </c>
      <c r="F45" s="37">
        <f>Table132[[#This Row],[New position]]-Table132[[#This Row],[Old position]]</f>
        <v>0</v>
      </c>
      <c r="G45" s="38">
        <f>ROUND(Table132[[#This Row],[Target allocation ($)]]/(IF(G55&gt;0, G48,G47)*C9)*100,3)</f>
        <v>0.59399999999999997</v>
      </c>
      <c r="H45" s="44">
        <f>Table132[[#This Row],[New position]]*Table132[[#This Row],[Last_Price]]</f>
        <v>498036.14</v>
      </c>
      <c r="I45" s="30"/>
      <c r="L45" s="56"/>
      <c r="M45"/>
      <c r="N45"/>
      <c r="O45"/>
      <c r="P45"/>
      <c r="Q45"/>
      <c r="R45"/>
    </row>
    <row r="46" spans="1:18" x14ac:dyDescent="0.25">
      <c r="A46" s="49"/>
      <c r="B46" s="49"/>
      <c r="C46" s="50"/>
      <c r="D46" s="39"/>
      <c r="E46" s="40"/>
      <c r="F46" s="35"/>
      <c r="G46" s="38"/>
      <c r="H46" s="51"/>
      <c r="I46" s="54"/>
      <c r="L46"/>
      <c r="M46"/>
      <c r="N46"/>
      <c r="O46"/>
      <c r="P46"/>
      <c r="Q46"/>
      <c r="R46"/>
    </row>
    <row r="47" spans="1:18" ht="45" x14ac:dyDescent="0.25">
      <c r="A47" s="49" t="s">
        <v>51</v>
      </c>
      <c r="B47" s="49"/>
      <c r="C47" s="50"/>
      <c r="D47" s="39"/>
      <c r="E47" s="40"/>
      <c r="F47" s="35"/>
      <c r="G47" s="38">
        <f xml:space="preserve"> IF(G55&gt;0, (C13+ABS(G55*G48))/C9, C13/C9)</f>
        <v>2.7360644459086307</v>
      </c>
      <c r="H47" s="51"/>
      <c r="I47" s="54"/>
      <c r="L47"/>
      <c r="M47"/>
      <c r="N47"/>
      <c r="O47"/>
      <c r="P47"/>
      <c r="Q47"/>
      <c r="R47"/>
    </row>
    <row r="48" spans="1:18" ht="30" x14ac:dyDescent="0.25">
      <c r="A48" s="49" t="s">
        <v>45</v>
      </c>
      <c r="B48" s="49"/>
      <c r="C48" s="50"/>
      <c r="D48" s="39"/>
      <c r="E48" s="40"/>
      <c r="F48" s="35"/>
      <c r="G48" s="38">
        <v>2.711557</v>
      </c>
      <c r="H48" s="51"/>
      <c r="I48" s="54"/>
      <c r="L48"/>
      <c r="M48"/>
      <c r="N48"/>
      <c r="O48"/>
      <c r="P48"/>
      <c r="Q48"/>
      <c r="R48"/>
    </row>
    <row r="49" spans="1:18" x14ac:dyDescent="0.25">
      <c r="A49" s="38" t="s">
        <v>32</v>
      </c>
      <c r="B49" s="38"/>
      <c r="C49" s="38"/>
      <c r="D49" s="38"/>
      <c r="E49" s="28"/>
      <c r="F49" s="52" t="s">
        <v>32</v>
      </c>
      <c r="G49" s="57">
        <f>SUM(H16:H38)/(G48*C9)</f>
        <v>0.98827915402651911</v>
      </c>
      <c r="H49" s="38"/>
      <c r="I49" s="31"/>
      <c r="L49"/>
      <c r="M49"/>
      <c r="N49"/>
      <c r="O49"/>
      <c r="P49"/>
      <c r="Q49"/>
      <c r="R49"/>
    </row>
    <row r="50" spans="1:18" x14ac:dyDescent="0.25">
      <c r="A50" s="38" t="s">
        <v>33</v>
      </c>
      <c r="B50" s="49"/>
      <c r="C50" s="50"/>
      <c r="D50" s="39"/>
      <c r="E50" s="40"/>
      <c r="F50" s="52" t="s">
        <v>33</v>
      </c>
      <c r="G50" s="57">
        <f>SUM(H39:H43)/(G48*C9)</f>
        <v>9.7659103090428166E-3</v>
      </c>
      <c r="H50" s="51"/>
      <c r="I50" s="31"/>
      <c r="L50"/>
      <c r="M50"/>
      <c r="N50"/>
      <c r="O50"/>
      <c r="P50"/>
      <c r="Q50"/>
      <c r="R50"/>
    </row>
    <row r="51" spans="1:18" x14ac:dyDescent="0.25">
      <c r="A51" s="49" t="s">
        <v>35</v>
      </c>
      <c r="B51" s="38"/>
      <c r="C51" s="38"/>
      <c r="D51" s="38"/>
      <c r="E51" s="28"/>
      <c r="F51" s="53" t="s">
        <v>35</v>
      </c>
      <c r="G51" s="57">
        <f>SUM(H44:H45)/(G48*C12)</f>
        <v>1.0993080873493457E-2</v>
      </c>
      <c r="H51" s="38"/>
      <c r="I51" s="32"/>
      <c r="L51"/>
      <c r="M51"/>
      <c r="N51"/>
      <c r="O51"/>
      <c r="P51"/>
      <c r="Q51"/>
      <c r="R51"/>
    </row>
    <row r="52" spans="1:18" x14ac:dyDescent="0.25">
      <c r="A52" s="38" t="s">
        <v>34</v>
      </c>
      <c r="B52" s="38"/>
      <c r="C52" s="38"/>
      <c r="D52" s="38"/>
      <c r="E52" s="28"/>
      <c r="F52" s="52" t="s">
        <v>34</v>
      </c>
      <c r="G52" s="57">
        <f>0/(G48*C9)</f>
        <v>0</v>
      </c>
      <c r="H52" s="38"/>
      <c r="I52" s="33"/>
      <c r="L52"/>
      <c r="M52"/>
      <c r="N52"/>
      <c r="O52"/>
      <c r="P52"/>
      <c r="Q52"/>
      <c r="R52"/>
    </row>
    <row r="53" spans="1:18" x14ac:dyDescent="0.25">
      <c r="A53" s="38" t="s">
        <v>23</v>
      </c>
      <c r="B53" s="38"/>
      <c r="C53" s="38"/>
      <c r="D53" s="38"/>
      <c r="E53" s="28"/>
      <c r="F53" s="52" t="s">
        <v>23</v>
      </c>
      <c r="G53" s="57">
        <f>1-SUM(G49:G52)</f>
        <v>-9.038145209055326E-3</v>
      </c>
      <c r="H53" s="38"/>
      <c r="I53" s="31"/>
      <c r="L53"/>
      <c r="M53"/>
      <c r="N53"/>
      <c r="O53"/>
      <c r="P53"/>
      <c r="Q53"/>
      <c r="R53"/>
    </row>
    <row r="54" spans="1:18" x14ac:dyDescent="0.25">
      <c r="A54" s="49" t="s">
        <v>11</v>
      </c>
      <c r="B54" s="49"/>
      <c r="C54" s="50"/>
      <c r="D54" s="39"/>
      <c r="E54" s="40"/>
      <c r="F54" s="38"/>
      <c r="G54" s="57">
        <f>SUM(H33)/(G48*C9)</f>
        <v>0.70293236481896193</v>
      </c>
      <c r="H54" s="51"/>
      <c r="I54" s="31"/>
      <c r="L54"/>
      <c r="M54"/>
      <c r="N54"/>
      <c r="O54"/>
      <c r="P54"/>
      <c r="Q54"/>
      <c r="R54"/>
    </row>
    <row r="55" spans="1:18" x14ac:dyDescent="0.25">
      <c r="A55" s="28" t="s">
        <v>39</v>
      </c>
      <c r="B55" s="28"/>
      <c r="C55" s="36"/>
      <c r="D55" s="28"/>
      <c r="E55" s="28"/>
      <c r="F55" s="35"/>
      <c r="G55" s="38">
        <f>C12*G53</f>
        <v>-276994.59401701274</v>
      </c>
      <c r="H55" s="44"/>
      <c r="I55" s="34"/>
      <c r="L55"/>
      <c r="M55"/>
      <c r="N55"/>
      <c r="O55"/>
      <c r="P55"/>
      <c r="Q55"/>
      <c r="R55"/>
    </row>
    <row r="56" spans="1:18" x14ac:dyDescent="0.25">
      <c r="A56" s="28"/>
      <c r="B56" s="28"/>
      <c r="C56" s="36"/>
      <c r="D56" s="28"/>
      <c r="E56" s="28"/>
      <c r="F56" s="28"/>
      <c r="G56" s="38"/>
      <c r="H56" s="44"/>
      <c r="I56" s="31"/>
      <c r="L56"/>
      <c r="M56"/>
      <c r="N56"/>
      <c r="O56"/>
      <c r="P56"/>
      <c r="Q56"/>
      <c r="R56"/>
    </row>
    <row r="57" spans="1:18" x14ac:dyDescent="0.25">
      <c r="A57" s="28"/>
      <c r="B57" s="28"/>
      <c r="C57" s="36"/>
      <c r="D57" s="28"/>
      <c r="E57" s="28"/>
      <c r="F57" s="35"/>
      <c r="G57" s="38"/>
      <c r="H57" s="44"/>
      <c r="I57" s="31"/>
      <c r="L57"/>
      <c r="M57"/>
      <c r="N57"/>
      <c r="O57"/>
      <c r="P57"/>
      <c r="Q57"/>
      <c r="R57"/>
    </row>
    <row r="58" spans="1:18" x14ac:dyDescent="0.25">
      <c r="A58" s="28"/>
      <c r="B58" s="28"/>
      <c r="C58" s="36"/>
      <c r="D58" s="28"/>
      <c r="E58" s="28"/>
      <c r="F58" s="35"/>
      <c r="G58" s="38"/>
      <c r="H58" s="44"/>
      <c r="I58" s="31"/>
      <c r="L58"/>
      <c r="M58"/>
      <c r="N58"/>
      <c r="O58"/>
      <c r="P58"/>
      <c r="Q58"/>
      <c r="R58"/>
    </row>
    <row r="59" spans="1:18" x14ac:dyDescent="0.25">
      <c r="A59" s="22"/>
      <c r="B59" s="5" t="s">
        <v>21</v>
      </c>
      <c r="D59" s="1"/>
      <c r="E59" s="5" t="s">
        <v>20</v>
      </c>
      <c r="F59" s="1"/>
      <c r="G59" s="5"/>
      <c r="H59" s="45" t="s">
        <v>2</v>
      </c>
      <c r="I59" s="4"/>
      <c r="L59"/>
      <c r="M59"/>
      <c r="N59"/>
      <c r="O59"/>
      <c r="P59"/>
      <c r="Q59"/>
      <c r="R59"/>
    </row>
    <row r="60" spans="1:18" x14ac:dyDescent="0.25">
      <c r="B60" s="5" t="s">
        <v>29</v>
      </c>
      <c r="D60" s="1"/>
      <c r="E60" s="5" t="s">
        <v>29</v>
      </c>
      <c r="F60" s="1"/>
      <c r="G60" s="5"/>
      <c r="H60" s="45" t="s">
        <v>3</v>
      </c>
      <c r="L60"/>
      <c r="M60"/>
      <c r="N60"/>
      <c r="O60"/>
      <c r="P60"/>
      <c r="Q60"/>
      <c r="R60"/>
    </row>
    <row r="61" spans="1:18" x14ac:dyDescent="0.25">
      <c r="B61" s="3"/>
      <c r="C61"/>
      <c r="D61" s="1"/>
      <c r="E61" s="3"/>
      <c r="F61" s="21"/>
      <c r="G61" s="3"/>
      <c r="H61" s="46"/>
      <c r="L61"/>
      <c r="M61"/>
      <c r="N61"/>
      <c r="O61"/>
      <c r="P61"/>
      <c r="Q61"/>
      <c r="R61"/>
    </row>
    <row r="62" spans="1:18" x14ac:dyDescent="0.25">
      <c r="C62"/>
      <c r="L62"/>
      <c r="M62"/>
      <c r="N62"/>
      <c r="O62"/>
      <c r="P62"/>
      <c r="Q62"/>
      <c r="R62"/>
    </row>
    <row r="63" spans="1:18" x14ac:dyDescent="0.25">
      <c r="L63"/>
      <c r="M63"/>
      <c r="N63"/>
      <c r="O63"/>
      <c r="P63"/>
      <c r="Q63"/>
      <c r="R63"/>
    </row>
    <row r="64" spans="1:18" x14ac:dyDescent="0.25">
      <c r="L64"/>
      <c r="M64"/>
      <c r="N64"/>
      <c r="O64"/>
      <c r="P64"/>
      <c r="Q64"/>
      <c r="R64"/>
    </row>
    <row r="65" spans="12:18" x14ac:dyDescent="0.25">
      <c r="L65"/>
      <c r="M65"/>
      <c r="N65"/>
      <c r="O65"/>
      <c r="P65"/>
      <c r="Q65"/>
      <c r="R65"/>
    </row>
    <row r="66" spans="12:18" x14ac:dyDescent="0.25">
      <c r="L66"/>
      <c r="M66"/>
      <c r="N66"/>
      <c r="O66"/>
      <c r="P66"/>
      <c r="Q66"/>
      <c r="R66"/>
    </row>
  </sheetData>
  <mergeCells count="13">
    <mergeCell ref="A12:B12"/>
    <mergeCell ref="A13:B13"/>
    <mergeCell ref="A1:B1"/>
    <mergeCell ref="A2:B2"/>
    <mergeCell ref="A8:B8"/>
    <mergeCell ref="A9:B9"/>
    <mergeCell ref="A10:B10"/>
    <mergeCell ref="A11:B11"/>
    <mergeCell ref="A3:B3"/>
    <mergeCell ref="A5:B5"/>
    <mergeCell ref="A7:B7"/>
    <mergeCell ref="A6:B6"/>
    <mergeCell ref="A4:B4"/>
  </mergeCells>
  <phoneticPr fontId="14" type="noConversion"/>
  <pageMargins left="0.7" right="0.7" top="0.75" bottom="0.75" header="0.3" footer="0.3"/>
  <pageSetup paperSize="9" scale="73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Horse</dc:creator>
  <cp:lastModifiedBy>Charles Yan</cp:lastModifiedBy>
  <cp:lastPrinted>2023-09-06T06:24:12Z</cp:lastPrinted>
  <dcterms:created xsi:type="dcterms:W3CDTF">2020-06-30T03:42:56Z</dcterms:created>
  <dcterms:modified xsi:type="dcterms:W3CDTF">2023-10-26T09:40:54Z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caa56c1a-fe67-443b-a9fc-77d75b153eb7</vt:lpwstr>
  </property>
</Properties>
</file>